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rvam\Downloads\"/>
    </mc:Choice>
  </mc:AlternateContent>
  <xr:revisionPtr revIDLastSave="0" documentId="8_{091A62B7-74A0-4F2F-B22B-175BA1E7AF7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IVOT TABLES" sheetId="3" r:id="rId1"/>
    <sheet name="DASHBOARD" sheetId="4" r:id="rId2"/>
    <sheet name="SOUCRE DATA" sheetId="1" r:id="rId3"/>
  </sheet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3" i="1"/>
  <c r="J7" i="1"/>
  <c r="J8" i="1"/>
  <c r="J9" i="1"/>
  <c r="J10" i="1"/>
  <c r="J11" i="1"/>
  <c r="J12" i="1"/>
  <c r="J5" i="1"/>
  <c r="J6" i="1"/>
  <c r="J4" i="1"/>
</calcChain>
</file>

<file path=xl/sharedStrings.xml><?xml version="1.0" encoding="utf-8"?>
<sst xmlns="http://schemas.openxmlformats.org/spreadsheetml/2006/main" count="125" uniqueCount="30">
  <si>
    <t>NAME</t>
  </si>
  <si>
    <t>Sum of TELUGU</t>
  </si>
  <si>
    <t>Sum of HINDI</t>
  </si>
  <si>
    <t>Sum of ENGILSH</t>
  </si>
  <si>
    <t>Sum of MATHS</t>
  </si>
  <si>
    <t>Sum of SCIENCE</t>
  </si>
  <si>
    <t>Sum of SOCIAL</t>
  </si>
  <si>
    <t>Sum of TOTAL</t>
  </si>
  <si>
    <t>Sum of PERCENTAGE</t>
  </si>
  <si>
    <t>ADI</t>
  </si>
  <si>
    <t>ALLU</t>
  </si>
  <si>
    <t>NANDU</t>
  </si>
  <si>
    <t>SAI</t>
  </si>
  <si>
    <t>SAI SRI</t>
  </si>
  <si>
    <t>SRI</t>
  </si>
  <si>
    <t>SRI SAI</t>
  </si>
  <si>
    <t>VAMSI</t>
  </si>
  <si>
    <t>VARUN</t>
  </si>
  <si>
    <t>VISHNU</t>
  </si>
  <si>
    <t>Grand Total</t>
  </si>
  <si>
    <t>STUDENT DASHBOARD</t>
  </si>
  <si>
    <t>S.NO</t>
  </si>
  <si>
    <t>TELUGU</t>
  </si>
  <si>
    <t>HINDI</t>
  </si>
  <si>
    <t>ENGILSH</t>
  </si>
  <si>
    <t>MATHS</t>
  </si>
  <si>
    <t>SCIENCE</t>
  </si>
  <si>
    <t>SOCIAL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</si>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</sst>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0"/>
      <color rgb="FFED7D3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72C4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STUDENT WISE TELUGU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72C4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TABLES'!$B$4:$B$14</c:f>
              <c:numCache>
                <c:formatCode>General</c:formatCode>
                <c:ptCount val="10"/>
                <c:pt idx="0">
                  <c:v>96</c:v>
                </c:pt>
                <c:pt idx="1">
                  <c:v>90</c:v>
                </c:pt>
                <c:pt idx="2">
                  <c:v>89</c:v>
                </c:pt>
                <c:pt idx="3">
                  <c:v>98</c:v>
                </c:pt>
                <c:pt idx="4">
                  <c:v>93</c:v>
                </c:pt>
                <c:pt idx="5">
                  <c:v>97</c:v>
                </c:pt>
                <c:pt idx="6">
                  <c:v>94</c:v>
                </c:pt>
                <c:pt idx="7">
                  <c:v>98</c:v>
                </c:pt>
                <c:pt idx="8">
                  <c:v>95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3-4EC1-92CC-E543205D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01736"/>
        <c:axId val="763403784"/>
      </c:barChart>
      <c:catAx>
        <c:axId val="76340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03784"/>
        <c:crosses val="autoZero"/>
        <c:auto val="1"/>
        <c:lblAlgn val="ctr"/>
        <c:lblOffset val="100"/>
        <c:noMultiLvlLbl val="0"/>
      </c:catAx>
      <c:valAx>
        <c:axId val="763403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340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75623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HINDI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75623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5A5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TABLES'!$E$4:$E$14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94</c:v>
                </c:pt>
                <c:pt idx="3">
                  <c:v>98</c:v>
                </c:pt>
                <c:pt idx="4">
                  <c:v>92</c:v>
                </c:pt>
                <c:pt idx="5">
                  <c:v>97</c:v>
                </c:pt>
                <c:pt idx="6">
                  <c:v>90</c:v>
                </c:pt>
                <c:pt idx="7">
                  <c:v>98</c:v>
                </c:pt>
                <c:pt idx="8">
                  <c:v>94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00E-90A4-CA8E147C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393032"/>
        <c:axId val="763395080"/>
      </c:barChart>
      <c:catAx>
        <c:axId val="76339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95080"/>
        <c:crosses val="autoZero"/>
        <c:auto val="1"/>
        <c:lblAlgn val="ctr"/>
        <c:lblOffset val="100"/>
        <c:noMultiLvlLbl val="0"/>
      </c:catAx>
      <c:valAx>
        <c:axId val="763395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339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92D05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ENGILSH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92D050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TABLES'!$H$4:$H$14</c:f>
              <c:numCache>
                <c:formatCode>General</c:formatCode>
                <c:ptCount val="10"/>
                <c:pt idx="0">
                  <c:v>89</c:v>
                </c:pt>
                <c:pt idx="1">
                  <c:v>83</c:v>
                </c:pt>
                <c:pt idx="2">
                  <c:v>88</c:v>
                </c:pt>
                <c:pt idx="3">
                  <c:v>97</c:v>
                </c:pt>
                <c:pt idx="4">
                  <c:v>96</c:v>
                </c:pt>
                <c:pt idx="5">
                  <c:v>98</c:v>
                </c:pt>
                <c:pt idx="6">
                  <c:v>87</c:v>
                </c:pt>
                <c:pt idx="7">
                  <c:v>98</c:v>
                </c:pt>
                <c:pt idx="8">
                  <c:v>95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4-4867-A1B5-6361CC4C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705992"/>
        <c:axId val="753708552"/>
      </c:barChart>
      <c:catAx>
        <c:axId val="75370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08552"/>
        <c:crosses val="autoZero"/>
        <c:auto val="1"/>
        <c:lblAlgn val="ctr"/>
        <c:lblOffset val="100"/>
        <c:noMultiLvlLbl val="0"/>
      </c:catAx>
      <c:valAx>
        <c:axId val="753708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370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MATHS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TABLES'!$K$4:$K$14</c:f>
              <c:numCache>
                <c:formatCode>General</c:formatCode>
                <c:ptCount val="10"/>
                <c:pt idx="0">
                  <c:v>96</c:v>
                </c:pt>
                <c:pt idx="1">
                  <c:v>90</c:v>
                </c:pt>
                <c:pt idx="2">
                  <c:v>89</c:v>
                </c:pt>
                <c:pt idx="3">
                  <c:v>98</c:v>
                </c:pt>
                <c:pt idx="4">
                  <c:v>93</c:v>
                </c:pt>
                <c:pt idx="5">
                  <c:v>97</c:v>
                </c:pt>
                <c:pt idx="6">
                  <c:v>94</c:v>
                </c:pt>
                <c:pt idx="7">
                  <c:v>100</c:v>
                </c:pt>
                <c:pt idx="8">
                  <c:v>95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506-B75D-01FF3D5E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397640"/>
        <c:axId val="921342472"/>
      </c:barChart>
      <c:catAx>
        <c:axId val="76339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42472"/>
        <c:crosses val="autoZero"/>
        <c:auto val="1"/>
        <c:lblAlgn val="ctr"/>
        <c:lblOffset val="100"/>
        <c:noMultiLvlLbl val="0"/>
      </c:catAx>
      <c:valAx>
        <c:axId val="921342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339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SCIENCE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TABLES'!$M$4:$M$14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TABLES'!$N$4:$N$14</c:f>
              <c:numCache>
                <c:formatCode>General</c:formatCode>
                <c:ptCount val="10"/>
                <c:pt idx="0">
                  <c:v>78</c:v>
                </c:pt>
                <c:pt idx="1">
                  <c:v>85</c:v>
                </c:pt>
                <c:pt idx="2">
                  <c:v>94</c:v>
                </c:pt>
                <c:pt idx="3">
                  <c:v>98</c:v>
                </c:pt>
                <c:pt idx="4">
                  <c:v>92</c:v>
                </c:pt>
                <c:pt idx="5">
                  <c:v>97</c:v>
                </c:pt>
                <c:pt idx="6">
                  <c:v>90</c:v>
                </c:pt>
                <c:pt idx="7">
                  <c:v>100</c:v>
                </c:pt>
                <c:pt idx="8">
                  <c:v>94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6BF-98CA-E9FFAB02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666952"/>
        <c:axId val="931669000"/>
      </c:barChart>
      <c:catAx>
        <c:axId val="93166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9000"/>
        <c:crosses val="autoZero"/>
        <c:auto val="1"/>
        <c:lblAlgn val="ctr"/>
        <c:lblOffset val="100"/>
        <c:noMultiLvlLbl val="0"/>
      </c:catAx>
      <c:valAx>
        <c:axId val="931669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166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61616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61616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TABLES'!$P$4:$P$14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TABLES'!$Q$4:$Q$14</c:f>
              <c:numCache>
                <c:formatCode>General</c:formatCode>
                <c:ptCount val="10"/>
                <c:pt idx="0">
                  <c:v>89</c:v>
                </c:pt>
                <c:pt idx="1">
                  <c:v>83</c:v>
                </c:pt>
                <c:pt idx="2">
                  <c:v>88</c:v>
                </c:pt>
                <c:pt idx="3">
                  <c:v>97</c:v>
                </c:pt>
                <c:pt idx="4">
                  <c:v>96</c:v>
                </c:pt>
                <c:pt idx="5">
                  <c:v>98</c:v>
                </c:pt>
                <c:pt idx="6">
                  <c:v>87</c:v>
                </c:pt>
                <c:pt idx="7">
                  <c:v>100</c:v>
                </c:pt>
                <c:pt idx="8">
                  <c:v>95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3-4309-909C-1B0F2986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484488"/>
        <c:axId val="1038486536"/>
      </c:barChart>
      <c:catAx>
        <c:axId val="103848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86536"/>
        <c:crosses val="autoZero"/>
        <c:auto val="1"/>
        <c:lblAlgn val="ctr"/>
        <c:lblOffset val="100"/>
        <c:noMultiLvlLbl val="0"/>
      </c:catAx>
      <c:valAx>
        <c:axId val="1038486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8484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D7D31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D7D31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TABLES'!$S$4:$S$14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TABLES'!$T$4:$T$14</c:f>
              <c:numCache>
                <c:formatCode>General</c:formatCode>
                <c:ptCount val="10"/>
                <c:pt idx="0">
                  <c:v>526</c:v>
                </c:pt>
                <c:pt idx="1">
                  <c:v>516</c:v>
                </c:pt>
                <c:pt idx="2">
                  <c:v>542</c:v>
                </c:pt>
                <c:pt idx="3">
                  <c:v>586</c:v>
                </c:pt>
                <c:pt idx="4">
                  <c:v>562</c:v>
                </c:pt>
                <c:pt idx="5">
                  <c:v>584</c:v>
                </c:pt>
                <c:pt idx="6">
                  <c:v>542</c:v>
                </c:pt>
                <c:pt idx="7">
                  <c:v>594</c:v>
                </c:pt>
                <c:pt idx="8">
                  <c:v>568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4-474A-987E-7B4E33675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394056"/>
        <c:axId val="904796680"/>
      </c:barChart>
      <c:catAx>
        <c:axId val="76339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796680"/>
        <c:crosses val="autoZero"/>
        <c:auto val="1"/>
        <c:lblAlgn val="ctr"/>
        <c:lblOffset val="100"/>
        <c:noMultiLvlLbl val="0"/>
      </c:catAx>
      <c:valAx>
        <c:axId val="904796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339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DASHBOARD.xlsx]PIVOT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546A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US"/>
              <a:t>STUDENT WISE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546A"/>
              </a:solidFill>
              <a:latin typeface="Bookman Old Style"/>
              <a:ea typeface="Bookman Old Style"/>
              <a:cs typeface="Bookman Old Style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TABLES'!$W$3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TABLES'!$V$4:$V$14</c:f>
              <c:strCache>
                <c:ptCount val="10"/>
                <c:pt idx="0">
                  <c:v>ADI</c:v>
                </c:pt>
                <c:pt idx="1">
                  <c:v>ALLU</c:v>
                </c:pt>
                <c:pt idx="2">
                  <c:v>NANDU</c:v>
                </c:pt>
                <c:pt idx="3">
                  <c:v>SAI</c:v>
                </c:pt>
                <c:pt idx="4">
                  <c:v>SAI SRI</c:v>
                </c:pt>
                <c:pt idx="5">
                  <c:v>SRI</c:v>
                </c:pt>
                <c:pt idx="6">
                  <c:v>SRI SAI</c:v>
                </c:pt>
                <c:pt idx="7">
                  <c:v>VAMSI</c:v>
                </c:pt>
                <c:pt idx="8">
                  <c:v>VARUN</c:v>
                </c:pt>
                <c:pt idx="9">
                  <c:v>VISHNU</c:v>
                </c:pt>
              </c:strCache>
            </c:strRef>
          </c:cat>
          <c:val>
            <c:numRef>
              <c:f>'PIVOT TABLES'!$W$4:$W$14</c:f>
              <c:numCache>
                <c:formatCode>General</c:formatCode>
                <c:ptCount val="10"/>
                <c:pt idx="0">
                  <c:v>87.666666666666671</c:v>
                </c:pt>
                <c:pt idx="1">
                  <c:v>86</c:v>
                </c:pt>
                <c:pt idx="2">
                  <c:v>90.333333333333329</c:v>
                </c:pt>
                <c:pt idx="3">
                  <c:v>97.666666666666671</c:v>
                </c:pt>
                <c:pt idx="4">
                  <c:v>93.666666666666671</c:v>
                </c:pt>
                <c:pt idx="5">
                  <c:v>97.333333333333329</c:v>
                </c:pt>
                <c:pt idx="6">
                  <c:v>90.333333333333329</c:v>
                </c:pt>
                <c:pt idx="7">
                  <c:v>99</c:v>
                </c:pt>
                <c:pt idx="8">
                  <c:v>94.666666666666671</c:v>
                </c:pt>
                <c:pt idx="9">
                  <c:v>96.333333333333329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B-489B-829A-1A72D563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6798216"/>
        <c:axId val="2136800264"/>
      </c:barChart>
      <c:catAx>
        <c:axId val="213679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00264"/>
        <c:crosses val="autoZero"/>
        <c:auto val="1"/>
        <c:lblAlgn val="ctr"/>
        <c:lblOffset val="100"/>
        <c:noMultiLvlLbl val="0"/>
      </c:catAx>
      <c:valAx>
        <c:axId val="2136800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679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171450</xdr:rowOff>
    </xdr:from>
    <xdr:to>
      <xdr:col>6</xdr:col>
      <xdr:colOff>447675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3C73C-DB08-40A4-955C-92799389C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3</xdr:row>
      <xdr:rowOff>0</xdr:rowOff>
    </xdr:from>
    <xdr:to>
      <xdr:col>13</xdr:col>
      <xdr:colOff>409575</xdr:colOff>
      <xdr:row>13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08127-C2EF-4204-92D8-385FEAE7681C}"/>
            </a:ext>
            <a:ext uri="{147F2762-F138-4A5C-976F-8EAC2B608ADB}">
              <a16:predDERef xmlns:a16="http://schemas.microsoft.com/office/drawing/2014/main" pred="{8223C73C-DB08-40A4-955C-92799389C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428625</xdr:colOff>
      <xdr:row>3</xdr:row>
      <xdr:rowOff>0</xdr:rowOff>
    </xdr:from>
    <xdr:to>
      <xdr:col>20</xdr:col>
      <xdr:colOff>190500</xdr:colOff>
      <xdr:row>13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894290-52EC-4EED-A45A-DF33EBDABB93}"/>
            </a:ext>
            <a:ext uri="{147F2762-F138-4A5C-976F-8EAC2B608ADB}">
              <a16:predDERef xmlns:a16="http://schemas.microsoft.com/office/drawing/2014/main" pred="{BFB08127-C2EF-4204-92D8-385FEAE76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447675</xdr:colOff>
      <xdr:row>25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7F646-6EB1-4FBC-952F-706AF7F49E1A}"/>
            </a:ext>
            <a:ext uri="{147F2762-F138-4A5C-976F-8EAC2B608ADB}">
              <a16:predDERef xmlns:a16="http://schemas.microsoft.com/office/drawing/2014/main" pred="{E5894290-52EC-4EED-A45A-DF33EBDAB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457200</xdr:colOff>
      <xdr:row>14</xdr:row>
      <xdr:rowOff>0</xdr:rowOff>
    </xdr:from>
    <xdr:to>
      <xdr:col>13</xdr:col>
      <xdr:colOff>428625</xdr:colOff>
      <xdr:row>25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17B3D2-82BF-4056-B3F1-F430B9A9506C}"/>
            </a:ext>
            <a:ext uri="{147F2762-F138-4A5C-976F-8EAC2B608ADB}">
              <a16:predDERef xmlns:a16="http://schemas.microsoft.com/office/drawing/2014/main" pred="{EB97F646-6EB1-4FBC-952F-706AF7F49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438150</xdr:colOff>
      <xdr:row>14</xdr:row>
      <xdr:rowOff>0</xdr:rowOff>
    </xdr:from>
    <xdr:to>
      <xdr:col>20</xdr:col>
      <xdr:colOff>200025</xdr:colOff>
      <xdr:row>25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B28089-7A40-42D4-B219-6CE83FD2E323}"/>
            </a:ext>
            <a:ext uri="{147F2762-F138-4A5C-976F-8EAC2B608ADB}">
              <a16:predDERef xmlns:a16="http://schemas.microsoft.com/office/drawing/2014/main" pred="{A017B3D2-82BF-4056-B3F1-F430B9A95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219075</xdr:colOff>
      <xdr:row>27</xdr:row>
      <xdr:rowOff>28575</xdr:rowOff>
    </xdr:from>
    <xdr:to>
      <xdr:col>8</xdr:col>
      <xdr:colOff>523875</xdr:colOff>
      <xdr:row>41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503521-F71F-4466-A2AC-77D7A5BC7B58}"/>
            </a:ext>
            <a:ext uri="{147F2762-F138-4A5C-976F-8EAC2B608ADB}">
              <a16:predDERef xmlns:a16="http://schemas.microsoft.com/office/drawing/2014/main" pred="{78B28089-7A40-42D4-B219-6CE83FD2E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161925</xdr:colOff>
      <xdr:row>27</xdr:row>
      <xdr:rowOff>9525</xdr:rowOff>
    </xdr:from>
    <xdr:to>
      <xdr:col>17</xdr:col>
      <xdr:colOff>466725</xdr:colOff>
      <xdr:row>41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531191-7164-482D-AE20-564F16DA64F4}"/>
            </a:ext>
            <a:ext uri="{147F2762-F138-4A5C-976F-8EAC2B608ADB}">
              <a16:predDERef xmlns:a16="http://schemas.microsoft.com/office/drawing/2014/main" pred="{24503521-F71F-4466-A2AC-77D7A5BC7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921939930558" createdVersion="8" refreshedVersion="8" minRefreshableVersion="3" recordCount="10" xr:uid="{908081A3-CAA2-486A-BFA6-603533F6181D}">
  <cacheSource type="worksheet">
    <worksheetSource ref="B2:K12" sheet="SOUCRE DATA"/>
  </cacheSource>
  <cacheFields count="10">
    <cacheField name="S.NO" numFmtId="0">
      <sharedItems containsSemiMixedTypes="0" containsString="0" containsNumber="1" containsInteger="1" minValue="1" maxValue="10"/>
    </cacheField>
    <cacheField name="NAME" numFmtId="0">
      <sharedItems count="10">
        <s v="VAMSI"/>
        <s v="SAI"/>
        <s v="SRI"/>
        <s v="VISHNU"/>
        <s v="VARUN"/>
        <s v="SAI SRI"/>
        <s v="SRI SAI"/>
        <s v="NANDU"/>
        <s v="ADI"/>
        <s v="ALLU"/>
      </sharedItems>
    </cacheField>
    <cacheField name="TELUGU" numFmtId="0">
      <sharedItems containsSemiMixedTypes="0" containsString="0" containsNumber="1" containsInteger="1" minValue="89" maxValue="98"/>
    </cacheField>
    <cacheField name="HINDI" numFmtId="0">
      <sharedItems containsSemiMixedTypes="0" containsString="0" containsNumber="1" containsInteger="1" minValue="78" maxValue="98"/>
    </cacheField>
    <cacheField name="ENGILSH" numFmtId="0">
      <sharedItems containsSemiMixedTypes="0" containsString="0" containsNumber="1" containsInteger="1" minValue="83" maxValue="98"/>
    </cacheField>
    <cacheField name="MATHS" numFmtId="0">
      <sharedItems containsSemiMixedTypes="0" containsString="0" containsNumber="1" containsInteger="1" minValue="89" maxValue="100"/>
    </cacheField>
    <cacheField name="SCIENCE" numFmtId="0">
      <sharedItems containsSemiMixedTypes="0" containsString="0" containsNumber="1" containsInteger="1" minValue="78" maxValue="100"/>
    </cacheField>
    <cacheField name="SOCIAL" numFmtId="0">
      <sharedItems containsSemiMixedTypes="0" containsString="0" containsNumber="1" containsInteger="1" minValue="83" maxValue="100"/>
    </cacheField>
    <cacheField name="TOTAL" numFmtId="0">
      <sharedItems containsSemiMixedTypes="0" containsString="0" containsNumber="1" containsInteger="1" minValue="516" maxValue="594"/>
    </cacheField>
    <cacheField name="PERCENTAGE" numFmtId="0">
      <sharedItems containsSemiMixedTypes="0" containsString="0" containsNumber="1" minValue="86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98"/>
    <n v="98"/>
    <n v="98"/>
    <n v="100"/>
    <n v="100"/>
    <n v="100"/>
    <n v="594"/>
    <n v="99"/>
  </r>
  <r>
    <n v="2"/>
    <x v="1"/>
    <n v="98"/>
    <n v="98"/>
    <n v="97"/>
    <n v="98"/>
    <n v="98"/>
    <n v="97"/>
    <n v="586"/>
    <n v="97.666666666666671"/>
  </r>
  <r>
    <n v="3"/>
    <x v="2"/>
    <n v="97"/>
    <n v="97"/>
    <n v="98"/>
    <n v="97"/>
    <n v="97"/>
    <n v="98"/>
    <n v="584"/>
    <n v="97.333333333333329"/>
  </r>
  <r>
    <n v="4"/>
    <x v="3"/>
    <n v="98"/>
    <n v="95"/>
    <n v="96"/>
    <n v="98"/>
    <n v="95"/>
    <n v="96"/>
    <n v="578"/>
    <n v="96.333333333333329"/>
  </r>
  <r>
    <n v="5"/>
    <x v="4"/>
    <n v="95"/>
    <n v="94"/>
    <n v="95"/>
    <n v="95"/>
    <n v="94"/>
    <n v="95"/>
    <n v="568"/>
    <n v="94.666666666666671"/>
  </r>
  <r>
    <n v="6"/>
    <x v="5"/>
    <n v="93"/>
    <n v="92"/>
    <n v="96"/>
    <n v="93"/>
    <n v="92"/>
    <n v="96"/>
    <n v="562"/>
    <n v="93.666666666666671"/>
  </r>
  <r>
    <n v="7"/>
    <x v="6"/>
    <n v="94"/>
    <n v="90"/>
    <n v="87"/>
    <n v="94"/>
    <n v="90"/>
    <n v="87"/>
    <n v="542"/>
    <n v="90.333333333333329"/>
  </r>
  <r>
    <n v="8"/>
    <x v="7"/>
    <n v="89"/>
    <n v="94"/>
    <n v="88"/>
    <n v="89"/>
    <n v="94"/>
    <n v="88"/>
    <n v="542"/>
    <n v="90.333333333333329"/>
  </r>
  <r>
    <n v="9"/>
    <x v="8"/>
    <n v="96"/>
    <n v="78"/>
    <n v="89"/>
    <n v="96"/>
    <n v="78"/>
    <n v="89"/>
    <n v="526"/>
    <n v="87.666666666666671"/>
  </r>
  <r>
    <n v="10"/>
    <x v="9"/>
    <n v="90"/>
    <n v="85"/>
    <n v="83"/>
    <n v="90"/>
    <n v="85"/>
    <n v="83"/>
    <n v="51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BD3F0-E69B-4E48-B4A5-56E545B338A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S3:T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84F97-D790-4FA4-A4B6-8D9738AD784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HINDI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39F37-297C-465A-9640-56579A11D03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3:Q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OCIAL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8F3FD-F4F2-4889-8FF5-B5FB7439AFB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ELUGU" fld="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E0084-F30B-4472-935F-2C210CCFB4A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3:N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CIENCE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A6D0E-441C-4C0C-A807-C3FFAB6B92B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3:K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ATHS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A0A6E-A33A-4E7B-85C1-5BE713A2AFD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NGILSH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97C45-F49D-4C79-911C-04A2AD3EE6A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V3:W14" firstHeaderRow="1" firstDataRow="1" firstDataCol="1"/>
  <pivotFields count="10">
    <pivotField compact="0" outline="0" showAll="0"/>
    <pivotField axis="axisRow" compact="0" outline="0" showAll="0">
      <items count="11">
        <item x="8"/>
        <item x="9"/>
        <item x="7"/>
        <item x="1"/>
        <item x="5"/>
        <item x="2"/>
        <item x="6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ERCENTAGE" fld="9" baseField="0" baseItem="0"/>
  </dataFields>
  <chartFormats count="2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220E-C75F-414B-B666-49046E75263D}">
  <dimension ref="A3:W14"/>
  <sheetViews>
    <sheetView topLeftCell="O1" workbookViewId="0">
      <selection activeCell="Y17" sqref="Y17"/>
    </sheetView>
  </sheetViews>
  <sheetFormatPr defaultRowHeight="14.5" x14ac:dyDescent="0.35"/>
  <cols>
    <col min="1" max="1" width="11.453125" bestFit="1" customWidth="1"/>
    <col min="2" max="2" width="14.7265625" bestFit="1" customWidth="1"/>
    <col min="4" max="4" width="11.453125" bestFit="1" customWidth="1"/>
    <col min="5" max="5" width="12.81640625" bestFit="1" customWidth="1"/>
    <col min="7" max="7" width="11.453125" bestFit="1" customWidth="1"/>
    <col min="8" max="8" width="15.26953125" bestFit="1" customWidth="1"/>
    <col min="10" max="10" width="11.453125" bestFit="1" customWidth="1"/>
    <col min="11" max="11" width="14.1796875" bestFit="1" customWidth="1"/>
    <col min="13" max="13" width="11.453125" bestFit="1" customWidth="1"/>
    <col min="14" max="14" width="14.81640625" bestFit="1" customWidth="1"/>
    <col min="16" max="16" width="11.453125" bestFit="1" customWidth="1"/>
    <col min="17" max="17" width="14" bestFit="1" customWidth="1"/>
    <col min="19" max="19" width="11.453125" bestFit="1" customWidth="1"/>
    <col min="20" max="20" width="13.26953125" bestFit="1" customWidth="1"/>
    <col min="22" max="22" width="11.453125" bestFit="1" customWidth="1"/>
    <col min="23" max="23" width="19.26953125" bestFit="1" customWidth="1"/>
  </cols>
  <sheetData>
    <row r="3" spans="1:23" x14ac:dyDescent="0.35">
      <c r="A3" s="4" t="s">
        <v>0</v>
      </c>
      <c r="B3" t="s">
        <v>1</v>
      </c>
      <c r="D3" s="4" t="s">
        <v>0</v>
      </c>
      <c r="E3" t="s">
        <v>2</v>
      </c>
      <c r="G3" s="4" t="s">
        <v>0</v>
      </c>
      <c r="H3" t="s">
        <v>3</v>
      </c>
      <c r="J3" s="4" t="s">
        <v>0</v>
      </c>
      <c r="K3" t="s">
        <v>4</v>
      </c>
      <c r="M3" s="4" t="s">
        <v>0</v>
      </c>
      <c r="N3" t="s">
        <v>5</v>
      </c>
      <c r="P3" s="4" t="s">
        <v>0</v>
      </c>
      <c r="Q3" t="s">
        <v>6</v>
      </c>
      <c r="S3" s="4" t="s">
        <v>0</v>
      </c>
      <c r="T3" t="s">
        <v>7</v>
      </c>
      <c r="V3" s="4" t="s">
        <v>0</v>
      </c>
      <c r="W3" t="s">
        <v>8</v>
      </c>
    </row>
    <row r="4" spans="1:23" x14ac:dyDescent="0.35">
      <c r="A4" t="s">
        <v>9</v>
      </c>
      <c r="B4">
        <v>96</v>
      </c>
      <c r="D4" t="s">
        <v>9</v>
      </c>
      <c r="E4">
        <v>78</v>
      </c>
      <c r="G4" t="s">
        <v>9</v>
      </c>
      <c r="H4">
        <v>89</v>
      </c>
      <c r="J4" t="s">
        <v>9</v>
      </c>
      <c r="K4">
        <v>96</v>
      </c>
      <c r="M4" t="s">
        <v>9</v>
      </c>
      <c r="N4">
        <v>78</v>
      </c>
      <c r="P4" t="s">
        <v>9</v>
      </c>
      <c r="Q4">
        <v>89</v>
      </c>
      <c r="S4" t="s">
        <v>9</v>
      </c>
      <c r="T4">
        <v>526</v>
      </c>
      <c r="V4" t="s">
        <v>9</v>
      </c>
      <c r="W4">
        <v>87.666666666666671</v>
      </c>
    </row>
    <row r="5" spans="1:23" x14ac:dyDescent="0.35">
      <c r="A5" t="s">
        <v>10</v>
      </c>
      <c r="B5">
        <v>90</v>
      </c>
      <c r="D5" t="s">
        <v>10</v>
      </c>
      <c r="E5">
        <v>85</v>
      </c>
      <c r="G5" t="s">
        <v>10</v>
      </c>
      <c r="H5">
        <v>83</v>
      </c>
      <c r="J5" t="s">
        <v>10</v>
      </c>
      <c r="K5">
        <v>90</v>
      </c>
      <c r="M5" t="s">
        <v>10</v>
      </c>
      <c r="N5">
        <v>85</v>
      </c>
      <c r="P5" t="s">
        <v>10</v>
      </c>
      <c r="Q5">
        <v>83</v>
      </c>
      <c r="S5" t="s">
        <v>10</v>
      </c>
      <c r="T5">
        <v>516</v>
      </c>
      <c r="V5" t="s">
        <v>10</v>
      </c>
      <c r="W5">
        <v>86</v>
      </c>
    </row>
    <row r="6" spans="1:23" x14ac:dyDescent="0.35">
      <c r="A6" t="s">
        <v>11</v>
      </c>
      <c r="B6">
        <v>89</v>
      </c>
      <c r="D6" t="s">
        <v>11</v>
      </c>
      <c r="E6">
        <v>94</v>
      </c>
      <c r="G6" t="s">
        <v>11</v>
      </c>
      <c r="H6">
        <v>88</v>
      </c>
      <c r="J6" t="s">
        <v>11</v>
      </c>
      <c r="K6">
        <v>89</v>
      </c>
      <c r="M6" t="s">
        <v>11</v>
      </c>
      <c r="N6">
        <v>94</v>
      </c>
      <c r="P6" t="s">
        <v>11</v>
      </c>
      <c r="Q6">
        <v>88</v>
      </c>
      <c r="S6" t="s">
        <v>11</v>
      </c>
      <c r="T6">
        <v>542</v>
      </c>
      <c r="V6" t="s">
        <v>11</v>
      </c>
      <c r="W6">
        <v>90.333333333333329</v>
      </c>
    </row>
    <row r="7" spans="1:23" x14ac:dyDescent="0.35">
      <c r="A7" t="s">
        <v>12</v>
      </c>
      <c r="B7">
        <v>98</v>
      </c>
      <c r="D7" t="s">
        <v>12</v>
      </c>
      <c r="E7">
        <v>98</v>
      </c>
      <c r="G7" t="s">
        <v>12</v>
      </c>
      <c r="H7">
        <v>97</v>
      </c>
      <c r="J7" t="s">
        <v>12</v>
      </c>
      <c r="K7">
        <v>98</v>
      </c>
      <c r="M7" t="s">
        <v>12</v>
      </c>
      <c r="N7">
        <v>98</v>
      </c>
      <c r="P7" t="s">
        <v>12</v>
      </c>
      <c r="Q7">
        <v>97</v>
      </c>
      <c r="S7" t="s">
        <v>12</v>
      </c>
      <c r="T7">
        <v>586</v>
      </c>
      <c r="V7" t="s">
        <v>12</v>
      </c>
      <c r="W7">
        <v>97.666666666666671</v>
      </c>
    </row>
    <row r="8" spans="1:23" x14ac:dyDescent="0.35">
      <c r="A8" t="s">
        <v>13</v>
      </c>
      <c r="B8">
        <v>93</v>
      </c>
      <c r="D8" t="s">
        <v>13</v>
      </c>
      <c r="E8">
        <v>92</v>
      </c>
      <c r="G8" t="s">
        <v>13</v>
      </c>
      <c r="H8">
        <v>96</v>
      </c>
      <c r="J8" t="s">
        <v>13</v>
      </c>
      <c r="K8">
        <v>93</v>
      </c>
      <c r="M8" t="s">
        <v>13</v>
      </c>
      <c r="N8">
        <v>92</v>
      </c>
      <c r="P8" t="s">
        <v>13</v>
      </c>
      <c r="Q8">
        <v>96</v>
      </c>
      <c r="S8" t="s">
        <v>13</v>
      </c>
      <c r="T8">
        <v>562</v>
      </c>
      <c r="V8" t="s">
        <v>13</v>
      </c>
      <c r="W8">
        <v>93.666666666666671</v>
      </c>
    </row>
    <row r="9" spans="1:23" x14ac:dyDescent="0.35">
      <c r="A9" t="s">
        <v>14</v>
      </c>
      <c r="B9">
        <v>97</v>
      </c>
      <c r="D9" t="s">
        <v>14</v>
      </c>
      <c r="E9">
        <v>97</v>
      </c>
      <c r="G9" t="s">
        <v>14</v>
      </c>
      <c r="H9">
        <v>98</v>
      </c>
      <c r="J9" t="s">
        <v>14</v>
      </c>
      <c r="K9">
        <v>97</v>
      </c>
      <c r="M9" t="s">
        <v>14</v>
      </c>
      <c r="N9">
        <v>97</v>
      </c>
      <c r="P9" t="s">
        <v>14</v>
      </c>
      <c r="Q9">
        <v>98</v>
      </c>
      <c r="S9" t="s">
        <v>14</v>
      </c>
      <c r="T9">
        <v>584</v>
      </c>
      <c r="V9" t="s">
        <v>14</v>
      </c>
      <c r="W9">
        <v>97.333333333333329</v>
      </c>
    </row>
    <row r="10" spans="1:23" x14ac:dyDescent="0.35">
      <c r="A10" t="s">
        <v>15</v>
      </c>
      <c r="B10">
        <v>94</v>
      </c>
      <c r="D10" t="s">
        <v>15</v>
      </c>
      <c r="E10">
        <v>90</v>
      </c>
      <c r="G10" t="s">
        <v>15</v>
      </c>
      <c r="H10">
        <v>87</v>
      </c>
      <c r="J10" t="s">
        <v>15</v>
      </c>
      <c r="K10">
        <v>94</v>
      </c>
      <c r="M10" t="s">
        <v>15</v>
      </c>
      <c r="N10">
        <v>90</v>
      </c>
      <c r="P10" t="s">
        <v>15</v>
      </c>
      <c r="Q10">
        <v>87</v>
      </c>
      <c r="S10" t="s">
        <v>15</v>
      </c>
      <c r="T10">
        <v>542</v>
      </c>
      <c r="V10" t="s">
        <v>15</v>
      </c>
      <c r="W10">
        <v>90.333333333333329</v>
      </c>
    </row>
    <row r="11" spans="1:23" x14ac:dyDescent="0.35">
      <c r="A11" t="s">
        <v>16</v>
      </c>
      <c r="B11">
        <v>98</v>
      </c>
      <c r="D11" t="s">
        <v>16</v>
      </c>
      <c r="E11">
        <v>98</v>
      </c>
      <c r="G11" t="s">
        <v>16</v>
      </c>
      <c r="H11">
        <v>98</v>
      </c>
      <c r="J11" t="s">
        <v>16</v>
      </c>
      <c r="K11">
        <v>100</v>
      </c>
      <c r="M11" t="s">
        <v>16</v>
      </c>
      <c r="N11">
        <v>100</v>
      </c>
      <c r="P11" t="s">
        <v>16</v>
      </c>
      <c r="Q11">
        <v>100</v>
      </c>
      <c r="S11" t="s">
        <v>16</v>
      </c>
      <c r="T11">
        <v>594</v>
      </c>
      <c r="V11" t="s">
        <v>16</v>
      </c>
      <c r="W11">
        <v>99</v>
      </c>
    </row>
    <row r="12" spans="1:23" x14ac:dyDescent="0.35">
      <c r="A12" t="s">
        <v>17</v>
      </c>
      <c r="B12">
        <v>95</v>
      </c>
      <c r="D12" t="s">
        <v>17</v>
      </c>
      <c r="E12">
        <v>94</v>
      </c>
      <c r="G12" t="s">
        <v>17</v>
      </c>
      <c r="H12">
        <v>95</v>
      </c>
      <c r="J12" t="s">
        <v>17</v>
      </c>
      <c r="K12">
        <v>95</v>
      </c>
      <c r="M12" t="s">
        <v>17</v>
      </c>
      <c r="N12">
        <v>94</v>
      </c>
      <c r="P12" t="s">
        <v>17</v>
      </c>
      <c r="Q12">
        <v>95</v>
      </c>
      <c r="S12" t="s">
        <v>17</v>
      </c>
      <c r="T12">
        <v>568</v>
      </c>
      <c r="V12" t="s">
        <v>17</v>
      </c>
      <c r="W12">
        <v>94.666666666666671</v>
      </c>
    </row>
    <row r="13" spans="1:23" x14ac:dyDescent="0.35">
      <c r="A13" t="s">
        <v>18</v>
      </c>
      <c r="B13">
        <v>98</v>
      </c>
      <c r="D13" t="s">
        <v>18</v>
      </c>
      <c r="E13">
        <v>95</v>
      </c>
      <c r="G13" t="s">
        <v>18</v>
      </c>
      <c r="H13">
        <v>96</v>
      </c>
      <c r="J13" t="s">
        <v>18</v>
      </c>
      <c r="K13">
        <v>98</v>
      </c>
      <c r="M13" t="s">
        <v>18</v>
      </c>
      <c r="N13">
        <v>95</v>
      </c>
      <c r="P13" t="s">
        <v>18</v>
      </c>
      <c r="Q13">
        <v>96</v>
      </c>
      <c r="S13" t="s">
        <v>18</v>
      </c>
      <c r="T13">
        <v>578</v>
      </c>
      <c r="V13" t="s">
        <v>18</v>
      </c>
      <c r="W13">
        <v>96.333333333333329</v>
      </c>
    </row>
    <row r="14" spans="1:23" x14ac:dyDescent="0.35">
      <c r="A14" t="s">
        <v>19</v>
      </c>
      <c r="B14">
        <v>948</v>
      </c>
      <c r="D14" t="s">
        <v>19</v>
      </c>
      <c r="E14">
        <v>921</v>
      </c>
      <c r="G14" t="s">
        <v>19</v>
      </c>
      <c r="H14">
        <v>927</v>
      </c>
      <c r="J14" t="s">
        <v>19</v>
      </c>
      <c r="K14">
        <v>950</v>
      </c>
      <c r="M14" t="s">
        <v>19</v>
      </c>
      <c r="N14">
        <v>923</v>
      </c>
      <c r="P14" t="s">
        <v>19</v>
      </c>
      <c r="Q14">
        <v>929</v>
      </c>
      <c r="S14" t="s">
        <v>19</v>
      </c>
      <c r="T14">
        <v>5598</v>
      </c>
      <c r="V14" t="s">
        <v>19</v>
      </c>
      <c r="W14">
        <v>933.00000000000011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D4FC-E6A3-4C46-B977-3BEAA713C449}">
  <dimension ref="B1:T3"/>
  <sheetViews>
    <sheetView showGridLines="0" tabSelected="1" zoomScale="50" zoomScaleNormal="50" workbookViewId="0">
      <selection activeCell="X19" sqref="X19"/>
    </sheetView>
  </sheetViews>
  <sheetFormatPr defaultRowHeight="14.5" x14ac:dyDescent="0.35"/>
  <sheetData>
    <row r="1" spans="2:20" x14ac:dyDescent="0.35">
      <c r="B1" s="5" t="s">
        <v>20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2:20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</sheetData>
  <mergeCells count="1">
    <mergeCell ref="B1:T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7"/>
  <sheetViews>
    <sheetView workbookViewId="0">
      <selection activeCell="K10" sqref="K10"/>
    </sheetView>
  </sheetViews>
  <sheetFormatPr defaultRowHeight="14.5" x14ac:dyDescent="0.35"/>
  <cols>
    <col min="11" max="11" width="12.453125" bestFit="1" customWidth="1"/>
  </cols>
  <sheetData>
    <row r="2" spans="2:11" x14ac:dyDescent="0.35">
      <c r="B2" s="2" t="s">
        <v>21</v>
      </c>
      <c r="C2" s="3" t="s">
        <v>0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2:11" x14ac:dyDescent="0.35">
      <c r="B3" s="2">
        <v>1</v>
      </c>
      <c r="C3" s="3" t="s">
        <v>16</v>
      </c>
      <c r="D3" s="3">
        <v>98</v>
      </c>
      <c r="E3" s="3">
        <v>98</v>
      </c>
      <c r="F3" s="3">
        <v>98</v>
      </c>
      <c r="G3" s="3">
        <v>100</v>
      </c>
      <c r="H3" s="3">
        <v>100</v>
      </c>
      <c r="I3" s="3">
        <v>100</v>
      </c>
      <c r="J3" s="3">
        <v>594</v>
      </c>
      <c r="K3" s="3">
        <f>(J3*100/600)</f>
        <v>99</v>
      </c>
    </row>
    <row r="4" spans="2:11" x14ac:dyDescent="0.35">
      <c r="B4" s="2">
        <v>2</v>
      </c>
      <c r="C4" s="3" t="s">
        <v>12</v>
      </c>
      <c r="D4" s="3">
        <v>98</v>
      </c>
      <c r="E4" s="3">
        <v>98</v>
      </c>
      <c r="F4" s="3">
        <v>97</v>
      </c>
      <c r="G4" s="3">
        <v>98</v>
      </c>
      <c r="H4" s="3">
        <v>98</v>
      </c>
      <c r="I4" s="3">
        <v>97</v>
      </c>
      <c r="J4" s="3">
        <f t="shared" ref="J4:J12" si="0">SUM(D4:I4)</f>
        <v>586</v>
      </c>
      <c r="K4" s="3">
        <f>(J4*100/600)</f>
        <v>97.666666666666671</v>
      </c>
    </row>
    <row r="5" spans="2:11" x14ac:dyDescent="0.35">
      <c r="B5" s="2">
        <v>3</v>
      </c>
      <c r="C5" s="3" t="s">
        <v>14</v>
      </c>
      <c r="D5" s="3">
        <v>97</v>
      </c>
      <c r="E5" s="3">
        <v>97</v>
      </c>
      <c r="F5" s="3">
        <v>98</v>
      </c>
      <c r="G5" s="3">
        <v>97</v>
      </c>
      <c r="H5" s="3">
        <v>97</v>
      </c>
      <c r="I5" s="3">
        <v>98</v>
      </c>
      <c r="J5" s="3">
        <f t="shared" si="0"/>
        <v>584</v>
      </c>
      <c r="K5" s="3">
        <f t="shared" ref="K5:K12" si="1">(J5*100/600)</f>
        <v>97.333333333333329</v>
      </c>
    </row>
    <row r="6" spans="2:11" x14ac:dyDescent="0.35">
      <c r="B6" s="2">
        <v>4</v>
      </c>
      <c r="C6" s="3" t="s">
        <v>18</v>
      </c>
      <c r="D6" s="3">
        <v>98</v>
      </c>
      <c r="E6" s="3">
        <v>95</v>
      </c>
      <c r="F6" s="3">
        <v>96</v>
      </c>
      <c r="G6" s="3">
        <v>98</v>
      </c>
      <c r="H6" s="3">
        <v>95</v>
      </c>
      <c r="I6" s="3">
        <v>96</v>
      </c>
      <c r="J6" s="3">
        <f t="shared" si="0"/>
        <v>578</v>
      </c>
      <c r="K6" s="3">
        <f t="shared" si="1"/>
        <v>96.333333333333329</v>
      </c>
    </row>
    <row r="7" spans="2:11" x14ac:dyDescent="0.35">
      <c r="B7" s="2">
        <v>5</v>
      </c>
      <c r="C7" s="3" t="s">
        <v>17</v>
      </c>
      <c r="D7" s="3">
        <v>95</v>
      </c>
      <c r="E7" s="3">
        <v>94</v>
      </c>
      <c r="F7" s="3">
        <v>95</v>
      </c>
      <c r="G7" s="3">
        <v>95</v>
      </c>
      <c r="H7" s="3">
        <v>94</v>
      </c>
      <c r="I7" s="3">
        <v>95</v>
      </c>
      <c r="J7" s="3">
        <f t="shared" si="0"/>
        <v>568</v>
      </c>
      <c r="K7" s="3">
        <f t="shared" si="1"/>
        <v>94.666666666666671</v>
      </c>
    </row>
    <row r="8" spans="2:11" x14ac:dyDescent="0.35">
      <c r="B8" s="2">
        <v>6</v>
      </c>
      <c r="C8" s="3" t="s">
        <v>13</v>
      </c>
      <c r="D8" s="3">
        <v>93</v>
      </c>
      <c r="E8" s="3">
        <v>92</v>
      </c>
      <c r="F8" s="3">
        <v>96</v>
      </c>
      <c r="G8" s="3">
        <v>93</v>
      </c>
      <c r="H8" s="3">
        <v>92</v>
      </c>
      <c r="I8" s="3">
        <v>96</v>
      </c>
      <c r="J8" s="3">
        <f t="shared" si="0"/>
        <v>562</v>
      </c>
      <c r="K8" s="3">
        <f t="shared" si="1"/>
        <v>93.666666666666671</v>
      </c>
    </row>
    <row r="9" spans="2:11" x14ac:dyDescent="0.35">
      <c r="B9" s="2">
        <v>7</v>
      </c>
      <c r="C9" s="3" t="s">
        <v>15</v>
      </c>
      <c r="D9" s="3">
        <v>94</v>
      </c>
      <c r="E9" s="3">
        <v>90</v>
      </c>
      <c r="F9" s="3">
        <v>87</v>
      </c>
      <c r="G9" s="3">
        <v>94</v>
      </c>
      <c r="H9" s="3">
        <v>90</v>
      </c>
      <c r="I9" s="3">
        <v>87</v>
      </c>
      <c r="J9" s="3">
        <f t="shared" si="0"/>
        <v>542</v>
      </c>
      <c r="K9" s="3">
        <f t="shared" si="1"/>
        <v>90.333333333333329</v>
      </c>
    </row>
    <row r="10" spans="2:11" x14ac:dyDescent="0.35">
      <c r="B10" s="2">
        <v>8</v>
      </c>
      <c r="C10" s="3" t="s">
        <v>11</v>
      </c>
      <c r="D10" s="3">
        <v>89</v>
      </c>
      <c r="E10" s="3">
        <v>94</v>
      </c>
      <c r="F10" s="3">
        <v>88</v>
      </c>
      <c r="G10" s="3">
        <v>89</v>
      </c>
      <c r="H10" s="3">
        <v>94</v>
      </c>
      <c r="I10" s="3">
        <v>88</v>
      </c>
      <c r="J10" s="3">
        <f t="shared" si="0"/>
        <v>542</v>
      </c>
      <c r="K10" s="3">
        <f t="shared" si="1"/>
        <v>90.333333333333329</v>
      </c>
    </row>
    <row r="11" spans="2:11" x14ac:dyDescent="0.35">
      <c r="B11" s="2">
        <v>9</v>
      </c>
      <c r="C11" s="3" t="s">
        <v>9</v>
      </c>
      <c r="D11" s="3">
        <v>96</v>
      </c>
      <c r="E11" s="3">
        <v>78</v>
      </c>
      <c r="F11" s="3">
        <v>89</v>
      </c>
      <c r="G11" s="3">
        <v>96</v>
      </c>
      <c r="H11" s="3">
        <v>78</v>
      </c>
      <c r="I11" s="3">
        <v>89</v>
      </c>
      <c r="J11" s="3">
        <f t="shared" si="0"/>
        <v>526</v>
      </c>
      <c r="K11" s="3">
        <f t="shared" si="1"/>
        <v>87.666666666666671</v>
      </c>
    </row>
    <row r="12" spans="2:11" x14ac:dyDescent="0.35">
      <c r="B12" s="2">
        <v>10</v>
      </c>
      <c r="C12" s="3" t="s">
        <v>10</v>
      </c>
      <c r="D12" s="3">
        <v>90</v>
      </c>
      <c r="E12" s="3">
        <v>85</v>
      </c>
      <c r="F12" s="3">
        <v>83</v>
      </c>
      <c r="G12" s="3">
        <v>90</v>
      </c>
      <c r="H12" s="3">
        <v>85</v>
      </c>
      <c r="I12" s="3">
        <v>83</v>
      </c>
      <c r="J12" s="3">
        <f t="shared" si="0"/>
        <v>516</v>
      </c>
      <c r="K12" s="3">
        <f t="shared" si="1"/>
        <v>86</v>
      </c>
    </row>
    <row r="13" spans="2:11" x14ac:dyDescent="0.35">
      <c r="B13" s="1"/>
    </row>
    <row r="14" spans="2:11" x14ac:dyDescent="0.35">
      <c r="B14" s="1"/>
    </row>
    <row r="15" spans="2:11" x14ac:dyDescent="0.35">
      <c r="B15" s="1"/>
    </row>
    <row r="16" spans="2:11" x14ac:dyDescent="0.35">
      <c r="B16" s="1"/>
    </row>
    <row r="17" spans="2:2" x14ac:dyDescent="0.35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DASHBOARD</vt:lpstr>
      <vt:lpstr>SOUCRE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Vamsi Nath reddy</dc:creator>
  <cp:keywords/>
  <dc:description/>
  <cp:lastModifiedBy>Vamsi Nath reddy</cp:lastModifiedBy>
  <cp:revision/>
  <dcterms:created xsi:type="dcterms:W3CDTF">2026-07-15T16:11:00Z</dcterms:created>
  <dcterms:modified xsi:type="dcterms:W3CDTF">2026-07-15T17:17:15Z</dcterms:modified>
  <cp:category/>
  <cp:contentStatus/>
</cp:coreProperties>
</file>